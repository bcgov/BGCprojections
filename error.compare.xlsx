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HONY\GitHub\CCISS_repos\BGCprojections\"/>
    </mc:Choice>
  </mc:AlternateContent>
  <xr:revisionPtr revIDLastSave="0" documentId="13_ncr:1_{CBB4CCBF-27C5-4B69-80D1-7EEA29759629}" xr6:coauthVersionLast="47" xr6:coauthVersionMax="47" xr10:uidLastSave="{00000000-0000-0000-0000-000000000000}"/>
  <bookViews>
    <workbookView xWindow="0" yWindow="360" windowWidth="23256" windowHeight="13896" xr2:uid="{32852CC8-4D77-4073-A06A-F7F86A5434A6}"/>
  </bookViews>
  <sheets>
    <sheet name="acc.z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</calcChain>
</file>

<file path=xl/sharedStrings.xml><?xml version="1.0" encoding="utf-8"?>
<sst xmlns="http://schemas.openxmlformats.org/spreadsheetml/2006/main" count="26" uniqueCount="26">
  <si>
    <t>class</t>
  </si>
  <si>
    <t>n_ref</t>
  </si>
  <si>
    <t>n_pred</t>
  </si>
  <si>
    <t>correct</t>
  </si>
  <si>
    <t>producer_accuracy</t>
  </si>
  <si>
    <t>user_accuracy</t>
  </si>
  <si>
    <t>omission_error</t>
  </si>
  <si>
    <t>commission_error</t>
  </si>
  <si>
    <t>BAFA</t>
  </si>
  <si>
    <t>BG</t>
  </si>
  <si>
    <t>BWBS</t>
  </si>
  <si>
    <t>CDF</t>
  </si>
  <si>
    <t>CMA</t>
  </si>
  <si>
    <t>CWH</t>
  </si>
  <si>
    <t>ESSF</t>
  </si>
  <si>
    <t>ICH</t>
  </si>
  <si>
    <t>IDF</t>
  </si>
  <si>
    <t>IMA</t>
  </si>
  <si>
    <t>MH</t>
  </si>
  <si>
    <t>MS</t>
  </si>
  <si>
    <t>PP</t>
  </si>
  <si>
    <t>SBPS</t>
  </si>
  <si>
    <t>SBS</t>
  </si>
  <si>
    <t>SWB</t>
  </si>
  <si>
    <r>
      <t xml:space="preserve">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2012</t>
    </r>
  </si>
  <si>
    <t>CCISS BGC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</si>
</sst>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470291351227346E-2"/>
          <c:w val="0.82505774278215227"/>
          <c:h val="0.80296643924327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acc.zone!$I$1</c:f>
              <c:strCache>
                <c:ptCount val="1"/>
                <c:pt idx="0">
                  <c:v>CCISS BGC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acc.zone!$A$2:$A$17</c:f>
              <c:strCache>
                <c:ptCount val="16"/>
                <c:pt idx="0">
                  <c:v>BAFA</c:v>
                </c:pt>
                <c:pt idx="1">
                  <c:v>BG</c:v>
                </c:pt>
                <c:pt idx="2">
                  <c:v>BWBS</c:v>
                </c:pt>
                <c:pt idx="3">
                  <c:v>CDF</c:v>
                </c:pt>
                <c:pt idx="4">
                  <c:v>CMA</c:v>
                </c:pt>
                <c:pt idx="5">
                  <c:v>CWH</c:v>
                </c:pt>
                <c:pt idx="6">
                  <c:v>ESSF</c:v>
                </c:pt>
                <c:pt idx="7">
                  <c:v>ICH</c:v>
                </c:pt>
                <c:pt idx="8">
                  <c:v>IDF</c:v>
                </c:pt>
                <c:pt idx="9">
                  <c:v>IMA</c:v>
                </c:pt>
                <c:pt idx="10">
                  <c:v>MH</c:v>
                </c:pt>
                <c:pt idx="11">
                  <c:v>MS</c:v>
                </c:pt>
                <c:pt idx="12">
                  <c:v>PP</c:v>
                </c:pt>
                <c:pt idx="13">
                  <c:v>SBPS</c:v>
                </c:pt>
                <c:pt idx="14">
                  <c:v>SBS</c:v>
                </c:pt>
                <c:pt idx="15">
                  <c:v>SWB</c:v>
                </c:pt>
              </c:strCache>
            </c:strRef>
          </c:cat>
          <c:val>
            <c:numRef>
              <c:f>acc.zone!$I$2:$I$17</c:f>
              <c:numCache>
                <c:formatCode>0%</c:formatCode>
                <c:ptCount val="16"/>
                <c:pt idx="0">
                  <c:v>0.128945931185145</c:v>
                </c:pt>
                <c:pt idx="1">
                  <c:v>8.3131557707828901E-2</c:v>
                </c:pt>
                <c:pt idx="2">
                  <c:v>2.3492136701575701E-2</c:v>
                </c:pt>
                <c:pt idx="3">
                  <c:v>4.9378569029224099E-2</c:v>
                </c:pt>
                <c:pt idx="4">
                  <c:v>0.108328567558619</c:v>
                </c:pt>
                <c:pt idx="5">
                  <c:v>3.2629716120557498E-2</c:v>
                </c:pt>
                <c:pt idx="6">
                  <c:v>5.1809434354970402E-2</c:v>
                </c:pt>
                <c:pt idx="7">
                  <c:v>5.0779209839103702E-2</c:v>
                </c:pt>
                <c:pt idx="8">
                  <c:v>5.4862960431739403E-2</c:v>
                </c:pt>
                <c:pt idx="9">
                  <c:v>0.183146577831617</c:v>
                </c:pt>
                <c:pt idx="10">
                  <c:v>0.15099981311904301</c:v>
                </c:pt>
                <c:pt idx="11">
                  <c:v>0.100571940463065</c:v>
                </c:pt>
                <c:pt idx="12">
                  <c:v>0.102946156451067</c:v>
                </c:pt>
                <c:pt idx="13">
                  <c:v>3.1243402997677801E-2</c:v>
                </c:pt>
                <c:pt idx="14">
                  <c:v>4.7967585936478901E-2</c:v>
                </c:pt>
                <c:pt idx="15">
                  <c:v>0.110942839023559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88F-BB12-61D96FAC8E62}"/>
            </c:ext>
          </c:extLst>
        </c:ser>
        <c:ser>
          <c:idx val="1"/>
          <c:order val="1"/>
          <c:tx>
            <c:strRef>
              <c:f>acc.zone!$J$1</c:f>
              <c:strCache>
                <c:ptCount val="1"/>
                <c:pt idx="0">
                  <c:v>Wang et al. 2012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acc.zone!$A$2:$A$17</c:f>
              <c:strCache>
                <c:ptCount val="16"/>
                <c:pt idx="0">
                  <c:v>BAFA</c:v>
                </c:pt>
                <c:pt idx="1">
                  <c:v>BG</c:v>
                </c:pt>
                <c:pt idx="2">
                  <c:v>BWBS</c:v>
                </c:pt>
                <c:pt idx="3">
                  <c:v>CDF</c:v>
                </c:pt>
                <c:pt idx="4">
                  <c:v>CMA</c:v>
                </c:pt>
                <c:pt idx="5">
                  <c:v>CWH</c:v>
                </c:pt>
                <c:pt idx="6">
                  <c:v>ESSF</c:v>
                </c:pt>
                <c:pt idx="7">
                  <c:v>ICH</c:v>
                </c:pt>
                <c:pt idx="8">
                  <c:v>IDF</c:v>
                </c:pt>
                <c:pt idx="9">
                  <c:v>IMA</c:v>
                </c:pt>
                <c:pt idx="10">
                  <c:v>MH</c:v>
                </c:pt>
                <c:pt idx="11">
                  <c:v>MS</c:v>
                </c:pt>
                <c:pt idx="12">
                  <c:v>PP</c:v>
                </c:pt>
                <c:pt idx="13">
                  <c:v>SBPS</c:v>
                </c:pt>
                <c:pt idx="14">
                  <c:v>SBS</c:v>
                </c:pt>
                <c:pt idx="15">
                  <c:v>SWB</c:v>
                </c:pt>
              </c:strCache>
            </c:strRef>
          </c:cat>
          <c:val>
            <c:numRef>
              <c:f>acc.zone!$J$2:$J$17</c:f>
              <c:numCache>
                <c:formatCode>0%</c:formatCode>
                <c:ptCount val="16"/>
                <c:pt idx="0">
                  <c:v>0.24</c:v>
                </c:pt>
                <c:pt idx="1">
                  <c:v>0.16</c:v>
                </c:pt>
                <c:pt idx="2">
                  <c:v>0.04</c:v>
                </c:pt>
                <c:pt idx="3">
                  <c:v>0.05</c:v>
                </c:pt>
                <c:pt idx="4">
                  <c:v>0.32</c:v>
                </c:pt>
                <c:pt idx="5">
                  <c:v>0.1</c:v>
                </c:pt>
                <c:pt idx="6">
                  <c:v>0.1</c:v>
                </c:pt>
                <c:pt idx="7">
                  <c:v>0.13</c:v>
                </c:pt>
                <c:pt idx="8">
                  <c:v>0.08</c:v>
                </c:pt>
                <c:pt idx="9">
                  <c:v>0.3</c:v>
                </c:pt>
                <c:pt idx="10">
                  <c:v>0.21</c:v>
                </c:pt>
                <c:pt idx="11">
                  <c:v>0.14000000000000001</c:v>
                </c:pt>
                <c:pt idx="12">
                  <c:v>0.16</c:v>
                </c:pt>
                <c:pt idx="13">
                  <c:v>0.06</c:v>
                </c:pt>
                <c:pt idx="14">
                  <c:v>0.06</c:v>
                </c:pt>
                <c:pt idx="1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4-488F-BB12-61D96FAC8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055856"/>
        <c:axId val="1891049136"/>
      </c:barChart>
      <c:catAx>
        <c:axId val="18910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49136"/>
        <c:crosses val="autoZero"/>
        <c:auto val="1"/>
        <c:lblAlgn val="ctr"/>
        <c:lblOffset val="100"/>
        <c:noMultiLvlLbl val="0"/>
      </c:catAx>
      <c:valAx>
        <c:axId val="1891049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Baseline prediction</a:t>
                </a:r>
                <a:r>
                  <a:rPr lang="en-US" baseline="0"/>
                  <a:t> mismatch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558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002996500437445"/>
          <c:y val="7.8343114887652124E-2"/>
          <c:w val="0.2410673665791776"/>
          <c:h val="0.1783671397579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470291351227346E-2"/>
          <c:w val="0.82505774278215227"/>
          <c:h val="0.802966439243270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acc.zone!$I$1</c:f>
              <c:strCache>
                <c:ptCount val="1"/>
                <c:pt idx="0">
                  <c:v>CCISS BGC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acc.zone!$A$2:$A$17</c:f>
              <c:strCache>
                <c:ptCount val="16"/>
                <c:pt idx="0">
                  <c:v>BAFA</c:v>
                </c:pt>
                <c:pt idx="1">
                  <c:v>BG</c:v>
                </c:pt>
                <c:pt idx="2">
                  <c:v>BWBS</c:v>
                </c:pt>
                <c:pt idx="3">
                  <c:v>CDF</c:v>
                </c:pt>
                <c:pt idx="4">
                  <c:v>CMA</c:v>
                </c:pt>
                <c:pt idx="5">
                  <c:v>CWH</c:v>
                </c:pt>
                <c:pt idx="6">
                  <c:v>ESSF</c:v>
                </c:pt>
                <c:pt idx="7">
                  <c:v>ICH</c:v>
                </c:pt>
                <c:pt idx="8">
                  <c:v>IDF</c:v>
                </c:pt>
                <c:pt idx="9">
                  <c:v>IMA</c:v>
                </c:pt>
                <c:pt idx="10">
                  <c:v>MH</c:v>
                </c:pt>
                <c:pt idx="11">
                  <c:v>MS</c:v>
                </c:pt>
                <c:pt idx="12">
                  <c:v>PP</c:v>
                </c:pt>
                <c:pt idx="13">
                  <c:v>SBPS</c:v>
                </c:pt>
                <c:pt idx="14">
                  <c:v>SBS</c:v>
                </c:pt>
                <c:pt idx="15">
                  <c:v>SWB</c:v>
                </c:pt>
              </c:strCache>
            </c:strRef>
          </c:cat>
          <c:val>
            <c:numRef>
              <c:f>acc.zone!$I$2:$I$17</c:f>
              <c:numCache>
                <c:formatCode>0%</c:formatCode>
                <c:ptCount val="16"/>
                <c:pt idx="0">
                  <c:v>0.128945931185145</c:v>
                </c:pt>
                <c:pt idx="1">
                  <c:v>8.3131557707828901E-2</c:v>
                </c:pt>
                <c:pt idx="2">
                  <c:v>2.3492136701575701E-2</c:v>
                </c:pt>
                <c:pt idx="3">
                  <c:v>4.9378569029224099E-2</c:v>
                </c:pt>
                <c:pt idx="4">
                  <c:v>0.108328567558619</c:v>
                </c:pt>
                <c:pt idx="5">
                  <c:v>3.2629716120557498E-2</c:v>
                </c:pt>
                <c:pt idx="6">
                  <c:v>5.1809434354970402E-2</c:v>
                </c:pt>
                <c:pt idx="7">
                  <c:v>5.0779209839103702E-2</c:v>
                </c:pt>
                <c:pt idx="8">
                  <c:v>5.4862960431739403E-2</c:v>
                </c:pt>
                <c:pt idx="9">
                  <c:v>0.183146577831617</c:v>
                </c:pt>
                <c:pt idx="10">
                  <c:v>0.15099981311904301</c:v>
                </c:pt>
                <c:pt idx="11">
                  <c:v>0.100571940463065</c:v>
                </c:pt>
                <c:pt idx="12">
                  <c:v>0.102946156451067</c:v>
                </c:pt>
                <c:pt idx="13">
                  <c:v>3.1243402997677801E-2</c:v>
                </c:pt>
                <c:pt idx="14">
                  <c:v>4.7967585936478901E-2</c:v>
                </c:pt>
                <c:pt idx="15">
                  <c:v>0.110942839023559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E-4A4F-86D5-5A3AB80D0104}"/>
            </c:ext>
          </c:extLst>
        </c:ser>
        <c:ser>
          <c:idx val="1"/>
          <c:order val="1"/>
          <c:tx>
            <c:strRef>
              <c:f>acc.zone!$J$1</c:f>
              <c:strCache>
                <c:ptCount val="1"/>
                <c:pt idx="0">
                  <c:v>Wang et al. 2012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acc.zone!$A$2:$A$17</c:f>
              <c:strCache>
                <c:ptCount val="16"/>
                <c:pt idx="0">
                  <c:v>BAFA</c:v>
                </c:pt>
                <c:pt idx="1">
                  <c:v>BG</c:v>
                </c:pt>
                <c:pt idx="2">
                  <c:v>BWBS</c:v>
                </c:pt>
                <c:pt idx="3">
                  <c:v>CDF</c:v>
                </c:pt>
                <c:pt idx="4">
                  <c:v>CMA</c:v>
                </c:pt>
                <c:pt idx="5">
                  <c:v>CWH</c:v>
                </c:pt>
                <c:pt idx="6">
                  <c:v>ESSF</c:v>
                </c:pt>
                <c:pt idx="7">
                  <c:v>ICH</c:v>
                </c:pt>
                <c:pt idx="8">
                  <c:v>IDF</c:v>
                </c:pt>
                <c:pt idx="9">
                  <c:v>IMA</c:v>
                </c:pt>
                <c:pt idx="10">
                  <c:v>MH</c:v>
                </c:pt>
                <c:pt idx="11">
                  <c:v>MS</c:v>
                </c:pt>
                <c:pt idx="12">
                  <c:v>PP</c:v>
                </c:pt>
                <c:pt idx="13">
                  <c:v>SBPS</c:v>
                </c:pt>
                <c:pt idx="14">
                  <c:v>SBS</c:v>
                </c:pt>
                <c:pt idx="15">
                  <c:v>SWB</c:v>
                </c:pt>
              </c:strCache>
            </c:strRef>
          </c:cat>
          <c:val>
            <c:numRef>
              <c:f>acc.zone!$J$2:$J$17</c:f>
              <c:numCache>
                <c:formatCode>0%</c:formatCode>
                <c:ptCount val="16"/>
                <c:pt idx="0">
                  <c:v>0.24</c:v>
                </c:pt>
                <c:pt idx="1">
                  <c:v>0.16</c:v>
                </c:pt>
                <c:pt idx="2">
                  <c:v>0.04</c:v>
                </c:pt>
                <c:pt idx="3">
                  <c:v>0.05</c:v>
                </c:pt>
                <c:pt idx="4">
                  <c:v>0.32</c:v>
                </c:pt>
                <c:pt idx="5">
                  <c:v>0.1</c:v>
                </c:pt>
                <c:pt idx="6">
                  <c:v>0.1</c:v>
                </c:pt>
                <c:pt idx="7">
                  <c:v>0.13</c:v>
                </c:pt>
                <c:pt idx="8">
                  <c:v>0.08</c:v>
                </c:pt>
                <c:pt idx="9">
                  <c:v>0.3</c:v>
                </c:pt>
                <c:pt idx="10">
                  <c:v>0.21</c:v>
                </c:pt>
                <c:pt idx="11">
                  <c:v>0.14000000000000001</c:v>
                </c:pt>
                <c:pt idx="12">
                  <c:v>0.16</c:v>
                </c:pt>
                <c:pt idx="13">
                  <c:v>0.06</c:v>
                </c:pt>
                <c:pt idx="14">
                  <c:v>0.06</c:v>
                </c:pt>
                <c:pt idx="15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E-4A4F-86D5-5A3AB80D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1055856"/>
        <c:axId val="1891049136"/>
      </c:barChart>
      <c:catAx>
        <c:axId val="189105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49136"/>
        <c:crosses val="autoZero"/>
        <c:auto val="1"/>
        <c:lblAlgn val="ctr"/>
        <c:lblOffset val="100"/>
        <c:noMultiLvlLbl val="0"/>
      </c:catAx>
      <c:valAx>
        <c:axId val="189104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Baseline prediction</a:t>
                </a:r>
                <a:r>
                  <a:rPr lang="en-US" baseline="0"/>
                  <a:t> mismatch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558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577813802686429"/>
          <c:y val="0.10443574690150031"/>
          <c:w val="0.45449932148574307"/>
          <c:h val="8.439373160546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</xdr:row>
      <xdr:rowOff>12382</xdr:rowOff>
    </xdr:from>
    <xdr:to>
      <xdr:col>18</xdr:col>
      <xdr:colOff>285750</xdr:colOff>
      <xdr:row>16</xdr:row>
      <xdr:rowOff>37147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BC3B8-E007-5437-25EA-6FAA363B7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281940</xdr:colOff>
      <xdr:row>18</xdr:row>
      <xdr:rowOff>0</xdr:rowOff>
    </xdr:from>
    <xdr:to>
      <xdr:col>18</xdr:col>
      <xdr:colOff>304800</xdr:colOff>
      <xdr:row>39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A47C6E-E599-47BE-8B14-A71F0B5CE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0961-ACB7-487B-9ADC-B70819B70F41}">
  <dimension ref="A1:J21"/>
  <sheetViews>
    <sheetView tabSelected="1" workbookViewId="0">
      <selection activeCell="M25" sqref="M25"/>
    </sheetView>
  </sheetViews>
  <sheetFormatPr defaultRowHeight="14.4" x14ac:dyDescent="0.3"/>
  <cols>
    <col min="7" max="7" width="1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24</v>
      </c>
    </row>
    <row r="2" spans="1:10" x14ac:dyDescent="0.3">
      <c r="A2" t="s">
        <v>8</v>
      </c>
      <c r="B2">
        <v>73240</v>
      </c>
      <c r="C2">
        <v>68945</v>
      </c>
      <c r="D2">
        <v>63796</v>
      </c>
      <c r="E2">
        <v>0.87105406881485503</v>
      </c>
      <c r="F2">
        <v>0.92531728189136297</v>
      </c>
      <c r="G2">
        <v>0.128945931185145</v>
      </c>
      <c r="H2">
        <v>7.46827181086374E-2</v>
      </c>
      <c r="I2" s="1">
        <f>G2</f>
        <v>0.128945931185145</v>
      </c>
      <c r="J2" s="1">
        <v>0.24</v>
      </c>
    </row>
    <row r="3" spans="1:10" x14ac:dyDescent="0.3">
      <c r="A3" t="s">
        <v>9</v>
      </c>
      <c r="B3">
        <v>2478</v>
      </c>
      <c r="C3">
        <v>2502</v>
      </c>
      <c r="D3">
        <v>2272</v>
      </c>
      <c r="E3">
        <v>0.91686844229217102</v>
      </c>
      <c r="F3">
        <v>0.90807354116706596</v>
      </c>
      <c r="G3">
        <v>8.3131557707828901E-2</v>
      </c>
      <c r="H3">
        <v>9.19264588329336E-2</v>
      </c>
      <c r="I3" s="1">
        <f t="shared" ref="I3:I17" si="0">G3</f>
        <v>8.3131557707828901E-2</v>
      </c>
      <c r="J3" s="1">
        <v>0.16</v>
      </c>
    </row>
    <row r="4" spans="1:10" x14ac:dyDescent="0.3">
      <c r="A4" t="s">
        <v>10</v>
      </c>
      <c r="B4">
        <v>199471</v>
      </c>
      <c r="C4">
        <v>198252</v>
      </c>
      <c r="D4">
        <v>194785</v>
      </c>
      <c r="E4">
        <v>0.97650786329842398</v>
      </c>
      <c r="F4">
        <v>0.98251215624558597</v>
      </c>
      <c r="G4">
        <v>2.3492136701575701E-2</v>
      </c>
      <c r="H4">
        <v>1.74878437544136E-2</v>
      </c>
      <c r="I4" s="1">
        <f t="shared" si="0"/>
        <v>2.3492136701575701E-2</v>
      </c>
      <c r="J4" s="1">
        <v>0.04</v>
      </c>
    </row>
    <row r="5" spans="1:10" x14ac:dyDescent="0.3">
      <c r="A5" t="s">
        <v>11</v>
      </c>
      <c r="B5">
        <v>2977</v>
      </c>
      <c r="C5">
        <v>2896</v>
      </c>
      <c r="D5">
        <v>2830</v>
      </c>
      <c r="E5">
        <v>0.950621430970776</v>
      </c>
      <c r="F5">
        <v>0.97720994475138101</v>
      </c>
      <c r="G5">
        <v>4.9378569029224099E-2</v>
      </c>
      <c r="H5">
        <v>2.2790055248618799E-2</v>
      </c>
      <c r="I5" s="1">
        <f t="shared" si="0"/>
        <v>4.9378569029224099E-2</v>
      </c>
      <c r="J5" s="1">
        <v>0.05</v>
      </c>
    </row>
    <row r="6" spans="1:10" x14ac:dyDescent="0.3">
      <c r="A6" t="s">
        <v>12</v>
      </c>
      <c r="B6">
        <v>33223</v>
      </c>
      <c r="C6">
        <v>35486</v>
      </c>
      <c r="D6">
        <v>29624</v>
      </c>
      <c r="E6">
        <v>0.89167143244138103</v>
      </c>
      <c r="F6">
        <v>0.83480809333258199</v>
      </c>
      <c r="G6">
        <v>0.108328567558619</v>
      </c>
      <c r="H6">
        <v>0.16519190666741801</v>
      </c>
      <c r="I6" s="1">
        <f t="shared" si="0"/>
        <v>0.108328567558619</v>
      </c>
      <c r="J6" s="1">
        <v>0.32</v>
      </c>
    </row>
    <row r="7" spans="1:10" x14ac:dyDescent="0.3">
      <c r="A7" t="s">
        <v>13</v>
      </c>
      <c r="B7">
        <v>109624</v>
      </c>
      <c r="C7">
        <v>110285</v>
      </c>
      <c r="D7">
        <v>106047</v>
      </c>
      <c r="E7">
        <v>0.96737028387944202</v>
      </c>
      <c r="F7">
        <v>0.961572289975971</v>
      </c>
      <c r="G7">
        <v>3.2629716120557498E-2</v>
      </c>
      <c r="H7">
        <v>3.84277100240287E-2</v>
      </c>
      <c r="I7" s="1">
        <f t="shared" si="0"/>
        <v>3.2629716120557498E-2</v>
      </c>
      <c r="J7" s="1">
        <v>0.1</v>
      </c>
    </row>
    <row r="8" spans="1:10" x14ac:dyDescent="0.3">
      <c r="A8" t="s">
        <v>14</v>
      </c>
      <c r="B8">
        <v>187379</v>
      </c>
      <c r="C8">
        <v>198506</v>
      </c>
      <c r="D8">
        <v>177671</v>
      </c>
      <c r="E8">
        <v>0.94819056564503001</v>
      </c>
      <c r="F8">
        <v>0.89504095594087796</v>
      </c>
      <c r="G8">
        <v>5.1809434354970402E-2</v>
      </c>
      <c r="H8">
        <v>0.104959044059122</v>
      </c>
      <c r="I8" s="1">
        <f t="shared" si="0"/>
        <v>5.1809434354970402E-2</v>
      </c>
      <c r="J8" s="1">
        <v>0.1</v>
      </c>
    </row>
    <row r="9" spans="1:10" x14ac:dyDescent="0.3">
      <c r="A9" t="s">
        <v>15</v>
      </c>
      <c r="B9">
        <v>59355</v>
      </c>
      <c r="C9">
        <v>61187</v>
      </c>
      <c r="D9">
        <v>56341</v>
      </c>
      <c r="E9">
        <v>0.949220790160896</v>
      </c>
      <c r="F9">
        <v>0.92080016997074499</v>
      </c>
      <c r="G9">
        <v>5.0779209839103702E-2</v>
      </c>
      <c r="H9">
        <v>7.9199830029254598E-2</v>
      </c>
      <c r="I9" s="1">
        <f t="shared" si="0"/>
        <v>5.0779209839103702E-2</v>
      </c>
      <c r="J9" s="1">
        <v>0.13</v>
      </c>
    </row>
    <row r="10" spans="1:10" x14ac:dyDescent="0.3">
      <c r="A10" t="s">
        <v>16</v>
      </c>
      <c r="B10">
        <v>42433</v>
      </c>
      <c r="C10">
        <v>42036</v>
      </c>
      <c r="D10">
        <v>40105</v>
      </c>
      <c r="E10">
        <v>0.94513703956826101</v>
      </c>
      <c r="F10">
        <v>0.95406318393757705</v>
      </c>
      <c r="G10">
        <v>5.4862960431739403E-2</v>
      </c>
      <c r="H10">
        <v>4.5936816062422697E-2</v>
      </c>
      <c r="I10" s="1">
        <f t="shared" si="0"/>
        <v>5.4862960431739403E-2</v>
      </c>
      <c r="J10" s="1">
        <v>0.08</v>
      </c>
    </row>
    <row r="11" spans="1:10" x14ac:dyDescent="0.3">
      <c r="A11" t="s">
        <v>17</v>
      </c>
      <c r="B11">
        <v>13208</v>
      </c>
      <c r="C11">
        <v>12348</v>
      </c>
      <c r="D11">
        <v>10789</v>
      </c>
      <c r="E11">
        <v>0.81685342216838297</v>
      </c>
      <c r="F11">
        <v>0.87374473598963398</v>
      </c>
      <c r="G11">
        <v>0.183146577831617</v>
      </c>
      <c r="H11">
        <v>0.12625526401036599</v>
      </c>
      <c r="I11" s="1">
        <f t="shared" si="0"/>
        <v>0.183146577831617</v>
      </c>
      <c r="J11" s="1">
        <v>0.3</v>
      </c>
    </row>
    <row r="12" spans="1:10" x14ac:dyDescent="0.3">
      <c r="A12" t="s">
        <v>18</v>
      </c>
      <c r="B12">
        <v>53510</v>
      </c>
      <c r="C12">
        <v>52383</v>
      </c>
      <c r="D12">
        <v>45430</v>
      </c>
      <c r="E12">
        <v>0.84900018688095702</v>
      </c>
      <c r="F12">
        <v>0.867266097779814</v>
      </c>
      <c r="G12">
        <v>0.15099981311904301</v>
      </c>
      <c r="H12">
        <v>0.132733902220186</v>
      </c>
      <c r="I12" s="1">
        <f t="shared" si="0"/>
        <v>0.15099981311904301</v>
      </c>
      <c r="J12" s="1">
        <v>0.21</v>
      </c>
    </row>
    <row r="13" spans="1:10" x14ac:dyDescent="0.3">
      <c r="A13" t="s">
        <v>19</v>
      </c>
      <c r="B13">
        <v>29024</v>
      </c>
      <c r="C13">
        <v>28694</v>
      </c>
      <c r="D13">
        <v>26105</v>
      </c>
      <c r="E13">
        <v>0.89942805953693505</v>
      </c>
      <c r="F13">
        <v>0.90977207778629698</v>
      </c>
      <c r="G13">
        <v>0.100571940463065</v>
      </c>
      <c r="H13">
        <v>9.0227922213703196E-2</v>
      </c>
      <c r="I13" s="1">
        <f t="shared" si="0"/>
        <v>0.100571940463065</v>
      </c>
      <c r="J13" s="1">
        <v>0.14000000000000001</v>
      </c>
    </row>
    <row r="14" spans="1:10" x14ac:dyDescent="0.3">
      <c r="A14" t="s">
        <v>20</v>
      </c>
      <c r="B14">
        <v>2953</v>
      </c>
      <c r="C14">
        <v>3059</v>
      </c>
      <c r="D14">
        <v>2649</v>
      </c>
      <c r="E14">
        <v>0.89705384354893303</v>
      </c>
      <c r="F14">
        <v>0.865969271003596</v>
      </c>
      <c r="G14">
        <v>0.102946156451067</v>
      </c>
      <c r="H14">
        <v>0.134030728996404</v>
      </c>
      <c r="I14" s="1">
        <f t="shared" si="0"/>
        <v>0.102946156451067</v>
      </c>
      <c r="J14" s="1">
        <v>0.16</v>
      </c>
    </row>
    <row r="15" spans="1:10" x14ac:dyDescent="0.3">
      <c r="A15" t="s">
        <v>21</v>
      </c>
      <c r="B15">
        <v>23685</v>
      </c>
      <c r="C15">
        <v>24465</v>
      </c>
      <c r="D15">
        <v>22945</v>
      </c>
      <c r="E15">
        <v>0.96875659700232197</v>
      </c>
      <c r="F15">
        <v>0.93787042714081303</v>
      </c>
      <c r="G15">
        <v>3.1243402997677801E-2</v>
      </c>
      <c r="H15">
        <v>6.2129572859186598E-2</v>
      </c>
      <c r="I15" s="1">
        <f t="shared" si="0"/>
        <v>3.1243402997677801E-2</v>
      </c>
      <c r="J15" s="1">
        <v>0.06</v>
      </c>
    </row>
    <row r="16" spans="1:10" x14ac:dyDescent="0.3">
      <c r="A16" t="s">
        <v>22</v>
      </c>
      <c r="B16">
        <v>114765</v>
      </c>
      <c r="C16">
        <v>112827</v>
      </c>
      <c r="D16">
        <v>109260</v>
      </c>
      <c r="E16">
        <v>0.95203241406352102</v>
      </c>
      <c r="F16">
        <v>0.96838522694036</v>
      </c>
      <c r="G16">
        <v>4.7967585936478901E-2</v>
      </c>
      <c r="H16">
        <v>3.161477305964E-2</v>
      </c>
      <c r="I16" s="1">
        <f t="shared" si="0"/>
        <v>4.7967585936478901E-2</v>
      </c>
      <c r="J16" s="1">
        <v>0.06</v>
      </c>
    </row>
    <row r="17" spans="1:10" x14ac:dyDescent="0.3">
      <c r="A17" t="s">
        <v>23</v>
      </c>
      <c r="B17">
        <v>105649</v>
      </c>
      <c r="C17">
        <v>99103</v>
      </c>
      <c r="D17">
        <v>93928</v>
      </c>
      <c r="E17">
        <v>0.88905716097644105</v>
      </c>
      <c r="F17">
        <v>0.94778160096061703</v>
      </c>
      <c r="G17">
        <v>0.110942839023559</v>
      </c>
      <c r="H17">
        <v>5.2218399039383301E-2</v>
      </c>
      <c r="I17" s="1">
        <f t="shared" si="0"/>
        <v>0.110942839023559</v>
      </c>
      <c r="J17" s="1">
        <v>0.16</v>
      </c>
    </row>
    <row r="21" spans="1:10" x14ac:dyDescent="0.3">
      <c r="J21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Mahony, Colin FOR:EX</cp:lastModifiedBy>
  <dcterms:created xsi:type="dcterms:W3CDTF">2026-05-08T04:29:43Z</dcterms:created>
  <dcterms:modified xsi:type="dcterms:W3CDTF">2026-06-26T14:11:45Z</dcterms:modified>
</cp:coreProperties>
</file>